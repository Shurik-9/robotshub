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Общая площадь склада. Типичный распределительный центр в логистическом парке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Площадь активной (роботизируемой) зоны. 50% от общей площади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Высота потолков в зоне хранения. Влияет на выбор типа решений (шаттловые системы)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Количество этажей (мезонинов). Для многоэтажных решений нужны лифты — учитывается в капитальные затраты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Стеллажных рядов. Влияет на плотность препятствий и длину проездов в симуляции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DejaVu Sans"/>
            <family val="2"/>
          </rPr>
          <t xml:space="preserve">Погрузочных постов. Посты отображаются как въездные ворота на сцене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</xdr:row>
                <xdr:rowOff>14</xdr:rowOff>
              </xdr:from>
              <xdr:to>
                <xdr:col>6</xdr:col>
                <xdr:colOff>2</xdr:colOff>
                <xdr:row>9</xdr:row>
                <xdr:rowOff>16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DejaVu Sans"/>
            <family val="2"/>
          </rPr>
          <t xml:space="preserve">Ширина главных проездов. Определяет допустимые габариты робота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6</xdr:row>
                <xdr:rowOff>14</xdr:rowOff>
              </xdr:from>
              <xdr:to>
                <xdr:col>6</xdr:col>
                <xdr:colOff>2</xdr:colOff>
                <xdr:row>10</xdr:row>
                <xdr:rowOff>16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DejaVu Sans"/>
            <family val="2"/>
          </rPr>
          <t xml:space="preserve">Ширина рабочих проходов между стеллажами. Узкий проход (1,5–2,0 м) — только специализированные решения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7</xdr:row>
                <xdr:rowOff>14</xdr:rowOff>
              </xdr:from>
              <xdr:to>
                <xdr:col>6</xdr:col>
                <xdr:colOff>2</xdr:colOff>
                <xdr:row>11</xdr:row>
                <xdr:rowOff>16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DejaVu Sans"/>
            <family val="2"/>
          </rPr>
          <t xml:space="preserve">Тип напольного покрытия. Влияет на выбор колёс/гусениц транспортировщиков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14</xdr:rowOff>
              </xdr:from>
              <xdr:to>
                <xdr:col>6</xdr:col>
                <xdr:colOff>2</xdr:colOff>
                <xdr:row>12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DejaVu Sans"/>
            <family val="2"/>
          </rPr>
          <t xml:space="preserve">Ровность пола (отклонение). Для высоких стеллажей пол должен быть особенно ровным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9</xdr:row>
                <xdr:rowOff>14</xdr:rowOff>
              </xdr:from>
              <xdr:to>
                <xdr:col>6</xdr:col>
                <xdr:colOff>2</xdr:colOff>
                <xdr:row>13</xdr:row>
                <xdr:rowOff>16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DejaVu Sans"/>
            <family val="2"/>
          </rPr>
          <t xml:space="preserve">Рабочих смен в сутки. Стандартно 2 смены, 12 ч/сутки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10</xdr:row>
                <xdr:rowOff>14</xdr:rowOff>
              </xdr:from>
              <xdr:to>
                <xdr:col>6</xdr:col>
                <xdr:colOff>2</xdr:colOff>
                <xdr:row>14</xdr:row>
                <xdr:rowOff>16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DejaVu Sans"/>
            <family val="2"/>
          </rPr>
          <t xml:space="preserve">Рабочих дней в году.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11</xdr:row>
                <xdr:rowOff>14</xdr:rowOff>
              </xdr:from>
              <xdr:to>
                <xdr:col>6</xdr:col>
                <xdr:colOff>2</xdr:colOff>
                <xdr:row>15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DejaVu Sans"/>
            <family val="2"/>
          </rPr>
          <t xml:space="preserve">Продолжительность смены. С учётом перерывов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12</xdr:row>
                <xdr:rowOff>14</xdr:rowOff>
              </xdr:from>
              <xdr:to>
                <xdr:col>6</xdr:col>
                <xdr:colOff>2</xdr:colOff>
                <xdr:row>16</xdr:row>
                <xdr:rowOff>16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Пиковый коэффициент нагрузки. Отношение макс. часовой нагрузки к среднечасовой; электронная торговля до 2,5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13</xdr:row>
                <xdr:rowOff>14</xdr:rowOff>
              </xdr:from>
              <xdr:to>
                <xdr:col>6</xdr:col>
                <xdr:colOff>2</xdr:colOff>
                <xdr:row>17</xdr:row>
                <xdr:rowOff>16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DejaVu Sans"/>
            <family val="2"/>
          </rPr>
          <t xml:space="preserve">Объём приёмки.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14</xdr:row>
                <xdr:rowOff>14</xdr:rowOff>
              </xdr:from>
              <xdr:to>
                <xdr:col>6</xdr:col>
                <xdr:colOff>2</xdr:colOff>
                <xdr:row>18</xdr:row>
                <xdr:rowOff>16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DejaVu Sans"/>
            <family val="2"/>
          </rPr>
          <t xml:space="preserve">Объём отгрузки. Включая консолидацию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15</xdr:row>
                <xdr:rowOff>14</xdr:rowOff>
              </xdr:from>
              <xdr:to>
                <xdr:col>6</xdr:col>
                <xdr:colOff>2</xdr:colOff>
                <xdr:row>19</xdr:row>
                <xdr:rowOff>16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DejaVu Sans"/>
            <family val="2"/>
          </rPr>
          <t xml:space="preserve">Объём отбора (строк/сутки). Строка = 1 позиция в заказе. Ключевой ключевой показатель комплектации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16</xdr:row>
                <xdr:rowOff>14</xdr:rowOff>
              </xdr:from>
              <xdr:to>
                <xdr:col>6</xdr:col>
                <xdr:colOff>2</xdr:colOff>
                <xdr:row>20</xdr:row>
                <xdr:rowOff>16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DejaVu Sans"/>
            <family val="2"/>
          </rPr>
          <t xml:space="preserve">Объём отбора (штук/сутки). В среднем ~1,5 шт. на строку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17</xdr:row>
                <xdr:rowOff>14</xdr:rowOff>
              </xdr:from>
              <xdr:to>
                <xdr:col>6</xdr:col>
                <xdr:colOff>2</xdr:colOff>
                <xdr:row>21</xdr:row>
                <xdr:rowOff>16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DejaVu Sans"/>
            <family val="2"/>
          </rPr>
          <t xml:space="preserve">Доля мелкоштучного отбора.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18</xdr:row>
                <xdr:rowOff>14</xdr:rowOff>
              </xdr:from>
              <xdr:to>
                <xdr:col>6</xdr:col>
                <xdr:colOff>2</xdr:colOff>
                <xdr:row>22</xdr:row>
                <xdr:rowOff>16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DejaVu Sans"/>
            <family val="2"/>
          </rPr>
          <t xml:space="preserve">Количество активных товарных позиций. Влияет на маршрутизацию и слотирование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19</xdr:row>
                <xdr:rowOff>14</xdr:rowOff>
              </xdr:from>
              <xdr:to>
                <xdr:col>6</xdr:col>
                <xdr:colOff>2</xdr:colOff>
                <xdr:row>23</xdr:row>
                <xdr:rowOff>16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DejaVu Sans"/>
            <family val="2"/>
          </rPr>
          <t xml:space="preserve">Доля быстрооборачиваемых товаров.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20</xdr:row>
                <xdr:rowOff>14</xdr:rowOff>
              </xdr:from>
              <xdr:to>
                <xdr:col>6</xdr:col>
                <xdr:colOff>2</xdr:colOff>
                <xdr:row>24</xdr:row>
                <xdr:rowOff>16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DejaVu Sans"/>
            <family val="2"/>
          </rPr>
          <t xml:space="preserve">Общая численность персонала. Включая ИТР, кладовщиков, водителей, уборку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21</xdr:row>
                <xdr:rowOff>14</xdr:rowOff>
              </xdr:from>
              <xdr:to>
                <xdr:col>6</xdr:col>
                <xdr:colOff>2</xdr:colOff>
                <xdr:row>25</xdr:row>
                <xdr:rowOff>16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DejaVu Sans"/>
            <family val="2"/>
          </rPr>
          <t xml:space="preserve">Отборщики (комплектовщики). Целевая группа экономии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22</xdr:row>
                <xdr:rowOff>14</xdr:rowOff>
              </xdr:from>
              <xdr:to>
                <xdr:col>6</xdr:col>
                <xdr:colOff>2</xdr:colOff>
                <xdr:row>26</xdr:row>
                <xdr:rowOff>16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DejaVu Sans"/>
            <family val="2"/>
          </rPr>
          <t xml:space="preserve">Операторы погрузчиков. Цель для автономных погрузчиков/узкопроходные погрузчики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23</xdr:row>
                <xdr:rowOff>14</xdr:rowOff>
              </xdr:from>
              <xdr:to>
                <xdr:col>6</xdr:col>
                <xdr:colOff>2</xdr:colOff>
                <xdr:row>27</xdr:row>
                <xdr:rowOff>16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DejaVu Sans"/>
            <family val="2"/>
          </rPr>
          <t xml:space="preserve">Операторы упаковочных линий. Частично автоматизируется коботами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24</xdr:row>
                <xdr:rowOff>14</xdr:rowOff>
              </xdr:from>
              <xdr:to>
                <xdr:col>6</xdr:col>
                <xdr:colOff>2</xdr:colOff>
                <xdr:row>28</xdr:row>
                <xdr:rowOff>16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DejaVu Sans"/>
            <family val="2"/>
          </rPr>
          <t xml:space="preserve">Средняя зарплата комплектовщика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25</xdr:row>
                <xdr:rowOff>14</xdr:rowOff>
              </xdr:from>
              <xdr:to>
                <xdr:col>6</xdr:col>
                <xdr:colOff>2</xdr:colOff>
                <xdr:row>29</xdr:row>
                <xdr:rowOff>16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DejaVu Sans"/>
            <family val="2"/>
          </rPr>
          <t xml:space="preserve">Средняя зарплата оператора погрузчика до удержания НДФЛ. Квалификация выше; дефицит на рынке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26</xdr:row>
                <xdr:rowOff>14</xdr:rowOff>
              </xdr:from>
              <xdr:to>
                <xdr:col>6</xdr:col>
                <xdr:colOff>2</xdr:colOff>
                <xdr:row>30</xdr:row>
                <xdr:rowOff>16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DejaVu Sans"/>
            <family val="2"/>
          </rPr>
          <t xml:space="preserve">Коэффициент начислений на ФОТ. Страховые взносы 30,2%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27</xdr:row>
                <xdr:rowOff>14</xdr:rowOff>
              </xdr:from>
              <xdr:to>
                <xdr:col>6</xdr:col>
                <xdr:colOff>2</xdr:colOff>
                <xdr:row>31</xdr:row>
                <xdr:rowOff>16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DejaVu Sans"/>
            <family val="2"/>
          </rPr>
          <t xml:space="preserve">Средняя выработка отборщика. До роботизации; ходьба, поиск, упаковка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28</xdr:row>
                <xdr:rowOff>14</xdr:rowOff>
              </xdr:from>
              <xdr:to>
                <xdr:col>6</xdr:col>
                <xdr:colOff>2</xdr:colOff>
                <xdr:row>32</xdr:row>
                <xdr:rowOff>16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DejaVu Sans"/>
            <family val="2"/>
          </rPr>
          <t xml:space="preserve">Потери рабочего времени (отпуск, болезнь, текучесть). Надбавка к нормативной численности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29</xdr:row>
                <xdr:rowOff>14</xdr:rowOff>
              </xdr:from>
              <xdr:to>
                <xdr:col>6</xdr:col>
                <xdr:colOff>2</xdr:colOff>
                <xdr:row>33</xdr:row>
                <xdr:rowOff>16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DejaVu Sans"/>
            <family val="2"/>
          </rPr>
          <t xml:space="preserve">Средняя длина маршрута отборщика на 1 строку.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30</xdr:row>
                <xdr:rowOff>14</xdr:rowOff>
              </xdr:from>
              <xdr:to>
                <xdr:col>6</xdr:col>
                <xdr:colOff>2</xdr:colOff>
                <xdr:row>34</xdr:row>
                <xdr:rowOff>16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DejaVu Sans"/>
            <family val="2"/>
          </rPr>
          <t xml:space="preserve">Протяжённость конвейерной/транспортной системы. 0 если отсутствует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31</xdr:row>
                <xdr:rowOff>14</xdr:rowOff>
              </xdr:from>
              <xdr:to>
                <xdr:col>6</xdr:col>
                <xdr:colOff>2</xdr:colOff>
                <xdr:row>35</xdr:row>
                <xdr:rowOff>16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DejaVu Sans"/>
            <family val="2"/>
          </rPr>
          <t xml:space="preserve">Тип системы стеллажного хранения.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32</xdr:row>
                <xdr:rowOff>14</xdr:rowOff>
              </xdr:from>
              <xdr:to>
                <xdr:col>6</xdr:col>
                <xdr:colOff>2</xdr:colOff>
                <xdr:row>36</xdr:row>
                <xdr:rowOff>16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DejaVu Sans"/>
            <family val="2"/>
          </rPr>
          <t xml:space="preserve">Количество паллетомест.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33</xdr:row>
                <xdr:rowOff>14</xdr:rowOff>
              </xdr:from>
              <xdr:to>
                <xdr:col>6</xdr:col>
                <xdr:colOff>2</xdr:colOff>
                <xdr:row>37</xdr:row>
                <xdr:rowOff>16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DejaVu Sans"/>
            <family val="2"/>
          </rPr>
          <t xml:space="preserve">Средняя масса паллеты. Влияет на грузоподъёмность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34</xdr:row>
                <xdr:rowOff>14</xdr:rowOff>
              </xdr:from>
              <xdr:to>
                <xdr:col>6</xdr:col>
                <xdr:colOff>2</xdr:colOff>
                <xdr:row>38</xdr:row>
                <xdr:rowOff>16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DejaVu Sans"/>
            <family val="2"/>
          </rPr>
          <t xml:space="preserve">Средняя масса штучной единицы. Критично для G2P-систем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35</xdr:row>
                <xdr:rowOff>14</xdr:rowOff>
              </xdr:from>
              <xdr:to>
                <xdr:col>6</xdr:col>
                <xdr:colOff>2</xdr:colOff>
                <xdr:row>39</xdr:row>
                <xdr:rowOff>16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DejaVu Sans"/>
            <family val="2"/>
          </rPr>
          <t xml:space="preserve">Габариты паллеты (Д×Ш×В). Евростандарт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36</xdr:row>
                <xdr:rowOff>14</xdr:rowOff>
              </xdr:from>
              <xdr:to>
                <xdr:col>6</xdr:col>
                <xdr:colOff>2</xdr:colOff>
                <xdr:row>40</xdr:row>
                <xdr:rowOff>16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DejaVu Sans"/>
            <family val="2"/>
          </rPr>
          <t xml:space="preserve">Габариты штучной единицы (Д×Ш×В).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37</xdr:row>
                <xdr:rowOff>14</xdr:rowOff>
              </xdr:from>
              <xdr:to>
                <xdr:col>6</xdr:col>
                <xdr:colOff>2</xdr:colOff>
                <xdr:row>41</xdr:row>
                <xdr:rowOff>16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DejaVu Sans"/>
            <family val="2"/>
          </rPr>
          <t xml:space="preserve">Доля негабаритных/нестандартных грузов. Нестандарт — барьер автоматизации, остаётся ручным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38</xdr:row>
                <xdr:rowOff>14</xdr:rowOff>
              </xdr:from>
              <xdr:to>
                <xdr:col>6</xdr:col>
                <xdr:colOff>2</xdr:colOff>
                <xdr:row>42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DejaVu Sans"/>
            <family val="2"/>
          </rPr>
          <t xml:space="preserve">Зарядных станций. Количество зарядных мест на каждом этаже сцены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39</xdr:row>
                <xdr:rowOff>14</xdr:rowOff>
              </xdr:from>
              <xdr:to>
                <xdr:col>6</xdr:col>
                <xdr:colOff>2</xdr:colOff>
                <xdr:row>43</xdr:row>
                <xdr:rowOff>16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DejaVu Sans"/>
            <family val="2"/>
          </rPr>
          <t xml:space="preserve">Доступная мощность электроснабжения. Для зарядных станций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40</xdr:row>
                <xdr:rowOff>14</xdr:rowOff>
              </xdr:from>
              <xdr:to>
                <xdr:col>6</xdr:col>
                <xdr:colOff>2</xdr:colOff>
                <xdr:row>44</xdr:row>
                <xdr:rowOff>16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DejaVu Sans"/>
            <family val="2"/>
          </rPr>
          <t xml:space="preserve">Наличие системы управления складом. Обязательно для роботизации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41</xdr:row>
                <xdr:rowOff>14</xdr:rowOff>
              </xdr:from>
              <xdr:to>
                <xdr:col>6</xdr:col>
                <xdr:colOff>2</xdr:colOff>
                <xdr:row>45</xdr:row>
                <xdr:rowOff>16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DejaVu Sans"/>
            <family val="2"/>
          </rPr>
          <t xml:space="preserve">Система управления предприятием. Интеграция интерфейс обмена данными / компонент для связи с другими программами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42</xdr:row>
                <xdr:rowOff>14</xdr:rowOff>
              </xdr:from>
              <xdr:to>
                <xdr:col>6</xdr:col>
                <xdr:colOff>2</xdr:colOff>
                <xdr:row>46</xdr:row>
                <xdr:rowOff>16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DejaVu Sans"/>
            <family val="2"/>
          </rPr>
          <t xml:space="preserve">Планируемый бюджет на роботизацию. Ориентир фильтрации; альтернативы — лизинг/роботы как услуга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43</xdr:row>
                <xdr:rowOff>14</xdr:rowOff>
              </xdr:from>
              <xdr:to>
                <xdr:col>6</xdr:col>
                <xdr:colOff>2</xdr:colOff>
                <xdr:row>47</xdr:row>
                <xdr:rowOff>16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DejaVu Sans"/>
            <family val="2"/>
          </rPr>
          <t xml:space="preserve">Горизонт расчёта окупаемости.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44</xdr:row>
                <xdr:rowOff>14</xdr:rowOff>
              </xdr:from>
              <xdr:to>
                <xdr:col>6</xdr:col>
                <xdr:colOff>2</xdr:colOff>
                <xdr:row>48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<sst xmlns="http://schemas.openxmlformats.org/spreadsheetml/2006/main" count="521" uniqueCount="210">
  <si>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</si>
  <si>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</si>
  <si>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</si>
  <si>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</si>
  <si>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</si>
  <si>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</si>
  <si>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</si>
  <si>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</si>
  <si>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</si>
  <si>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</si>
  <si>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</si>
  <si>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</si>
  <si>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</si>
  <si>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</si>
  <si>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</si>
  <si>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</si>
  <si>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</si>
  <si>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warehouse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</si>
  <si>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</si>
  <si>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</si>
  <si>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</si>
  <si>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</si>
  <si>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</si>
  <si>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</si>
  <si>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</si>
  <si>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</si>
  <si>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</si>
  <si>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</si>
  <si>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</si>
  <si>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</si>
  <si>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</si>
  <si>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</si>
  <si>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</si>
  <si>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</si>
  <si>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total_area_m2</t>
  </si>
  <si>
    <t xml:space="preserve">Общие параметры объекта</t>
  </si>
  <si>
    <t xml:space="preserve">Общая площадь склада</t>
  </si>
  <si>
    <t xml:space="preserve">м²</t>
  </si>
  <si>
    <t xml:space="preserve">Да</t>
  </si>
  <si>
    <t xml:space="preserve">Число</t>
  </si>
  <si>
    <t xml:space="preserve">Типичный распределительный центр в логистическом парке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</si>
  <si>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</si>
  <si>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</si>
  <si>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</si>
  <si>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active_area_m2</t>
  </si>
  <si>
    <t xml:space="preserve">Площадь активной (роботизируемой) зоны</t>
  </si>
  <si>
    <t xml:space="preserve">50% от общей площади</t>
  </si>
  <si>
    <t xml:space="preserve">ceiling_height_m</t>
  </si>
  <si>
    <t xml:space="preserve">Высота потолков в зоне хранения</t>
  </si>
  <si>
    <t xml:space="preserve">м</t>
  </si>
  <si>
    <t xml:space="preserve">Влияет на выбор типа решений (шаттловые системы)</t>
  </si>
  <si>
    <t xml:space="preserve">floors_count</t>
  </si>
  <si>
    <t xml:space="preserve">Количество этажей (мезонинов)</t>
  </si>
  <si>
    <t xml:space="preserve">шт.</t>
  </si>
  <si>
    <t xml:space="preserve">Целое число</t>
  </si>
  <si>
    <t xml:space="preserve">Для многоэтажных решений нужны лифты — учитывается в капитальные затраты</t>
  </si>
  <si>
    <t xml:space="preserve">rack_rows</t>
  </si>
  <si>
    <t xml:space="preserve">Стеллажных рядов</t>
  </si>
  <si>
    <t xml:space="preserve">Влияет на плотность препятствий и длину проездов в симуляции</t>
  </si>
  <si>
    <t xml:space="preserve">docks_count</t>
  </si>
  <si>
    <t xml:space="preserve">Погрузочных постов</t>
  </si>
  <si>
    <t xml:space="preserve">Посты отображаются как въездные ворота на сцене</t>
  </si>
  <si>
    <t xml:space="preserve">main_aisle_width_m</t>
  </si>
  <si>
    <t xml:space="preserve">Ширина главных проездов</t>
  </si>
  <si>
    <t xml:space="preserve">Определяет допустимые габариты робота</t>
  </si>
  <si>
    <t xml:space="preserve">rack_aisle_width_m</t>
  </si>
  <si>
    <t xml:space="preserve">Ширина рабочих проходов между стеллажами</t>
  </si>
  <si>
    <t xml:space="preserve">Узкий проход (1,5–2,0 м) — только специализированные решения</t>
  </si>
  <si>
    <t xml:space="preserve">floor_type</t>
  </si>
  <si>
    <t xml:space="preserve">Тип напольного покрытия</t>
  </si>
  <si>
    <t xml:space="preserve">Промышленный бетон</t>
  </si>
  <si>
    <t xml:space="preserve">Выбор из списка</t>
  </si>
  <si>
    <t xml:space="preserve">Промышленный бетон | Эпоксид | Асфальт</t>
  </si>
  <si>
    <t xml:space="preserve">Влияет на выбор колёс/гусениц транспортировщиков</t>
  </si>
  <si>
    <t xml:space="preserve">floor_flatness_mm_2m</t>
  </si>
  <si>
    <t xml:space="preserve">Ровность пола (отклонение)</t>
  </si>
  <si>
    <t xml:space="preserve">мм/2м</t>
  </si>
  <si>
    <t xml:space="preserve">Для высоких стеллажей пол должен быть особенно ровным</t>
  </si>
  <si>
    <t xml:space="preserve">shifts_per_day</t>
  </si>
  <si>
    <t xml:space="preserve">Режим работы</t>
  </si>
  <si>
    <t xml:space="preserve">Рабочих смен в сутки</t>
  </si>
  <si>
    <t xml:space="preserve">смен</t>
  </si>
  <si>
    <t xml:space="preserve">Стандартно 2 смены, 12 ч/сутки</t>
  </si>
  <si>
    <t xml:space="preserve">working_days_per_year</t>
  </si>
  <si>
    <t xml:space="preserve">Рабочих дней в году</t>
  </si>
  <si>
    <t xml:space="preserve">дн.</t>
  </si>
  <si>
    <t xml:space="preserve">shift_duration_h</t>
  </si>
  <si>
    <t xml:space="preserve">Продолжительность смены</t>
  </si>
  <si>
    <t xml:space="preserve">ч</t>
  </si>
  <si>
    <t xml:space="preserve">С учётом перерывов</t>
  </si>
  <si>
    <t xml:space="preserve">peak_factor</t>
  </si>
  <si>
    <t xml:space="preserve">Пиковый коэффициент нагрузки</t>
  </si>
  <si>
    <t xml:space="preserve">Отношение макс. часовой нагрузки к среднечасовой; электронная торговля до 2,5</t>
  </si>
  <si>
    <t xml:space="preserve">inbound_pallets_per_day</t>
  </si>
  <si>
    <t xml:space="preserve">Операции: объём и производительность</t>
  </si>
  <si>
    <t xml:space="preserve">Объём приёмки</t>
  </si>
  <si>
    <t xml:space="preserve">поддон/сут</t>
  </si>
  <si>
    <t xml:space="preserve">outbound_pallets_per_day</t>
  </si>
  <si>
    <t xml:space="preserve">Объём отгрузки</t>
  </si>
  <si>
    <t xml:space="preserve">Включая консолидацию</t>
  </si>
  <si>
    <t xml:space="preserve">pick_lines_per_day</t>
  </si>
  <si>
    <t xml:space="preserve">Объём отбора (строк/сутки)</t>
  </si>
  <si>
    <t xml:space="preserve">строк/сут</t>
  </si>
  <si>
    <t xml:space="preserve">Строка = 1 позиция в заказе. Ключевой ключевой показатель комплектации</t>
  </si>
  <si>
    <t xml:space="preserve">pick_units_per_day</t>
  </si>
  <si>
    <t xml:space="preserve">Объём отбора (штук/сутки)</t>
  </si>
  <si>
    <t xml:space="preserve">шт./сут</t>
  </si>
  <si>
    <t xml:space="preserve">В среднем ~1,5 шт. на строку</t>
  </si>
  <si>
    <t xml:space="preserve">piece_pick_share_pct</t>
  </si>
  <si>
    <t xml:space="preserve">Доля мелкоштучного отбора</t>
  </si>
  <si>
    <t xml:space="preserve">%</t>
  </si>
  <si>
    <t xml:space="preserve">active_sku_count</t>
  </si>
  <si>
    <t xml:space="preserve">Количество активных товарных позиций</t>
  </si>
  <si>
    <t xml:space="preserve">позиций</t>
  </si>
  <si>
    <t xml:space="preserve">Влияет на маршрутизацию и слотирование</t>
  </si>
  <si>
    <t xml:space="preserve">fast_moving_sku_share_pct</t>
  </si>
  <si>
    <t xml:space="preserve">Доля быстрооборачиваемых товаров</t>
  </si>
  <si>
    <t xml:space="preserve">total_staff</t>
  </si>
  <si>
    <t xml:space="preserve">Персонал</t>
  </si>
  <si>
    <t xml:space="preserve">Общая численность персонала</t>
  </si>
  <si>
    <t xml:space="preserve">чел.</t>
  </si>
  <si>
    <t xml:space="preserve">Включая ИТР, кладовщиков, водителей, уборку</t>
  </si>
  <si>
    <t xml:space="preserve">pickers_count</t>
  </si>
  <si>
    <t xml:space="preserve">Отборщики (комплектовщики)</t>
  </si>
  <si>
    <t xml:space="preserve">Целевая группа экономии</t>
  </si>
  <si>
    <t xml:space="preserve">forklift_operators_count</t>
  </si>
  <si>
    <t xml:space="preserve">Операторы погрузчиков</t>
  </si>
  <si>
    <t xml:space="preserve">Цель для автономных погрузчиков/узкопроходные погрузчики</t>
  </si>
  <si>
    <t xml:space="preserve">packing_operators_count</t>
  </si>
  <si>
    <t xml:space="preserve">Операторы упаковочных линий</t>
  </si>
  <si>
    <t xml:space="preserve">Частично автоматизируется коботами</t>
  </si>
  <si>
    <t xml:space="preserve">picker_salary_gross</t>
  </si>
  <si>
    <t xml:space="preserve">Средняя зарплата комплектовщика до удержания НДФЛ</t>
  </si>
  <si>
    <t xml:space="preserve">руб./мес.</t>
  </si>
  <si>
    <t xml:space="preserve">forklift_salary_gross</t>
  </si>
  <si>
    <t xml:space="preserve">Средняя зарплата оператора погрузчика до удержания НДФЛ</t>
  </si>
  <si>
    <t xml:space="preserve">Квалификация выше; дефицит на рынке</t>
  </si>
  <si>
    <t xml:space="preserve">payroll_factor</t>
  </si>
  <si>
    <t xml:space="preserve">Коэффициент начислений на ФОТ</t>
  </si>
  <si>
    <t xml:space="preserve">Страховые взносы 30,2%</t>
  </si>
  <si>
    <t xml:space="preserve">picker_productivity_lines_h</t>
  </si>
  <si>
    <t xml:space="preserve">Средняя выработка отборщика</t>
  </si>
  <si>
    <t xml:space="preserve">строк/ч·чел</t>
  </si>
  <si>
    <t xml:space="preserve">До роботизации; ходьба, поиск, упаковка</t>
  </si>
  <si>
    <t xml:space="preserve">staff_loss_factor_pct</t>
  </si>
  <si>
    <t xml:space="preserve">Потери рабочего времени (отпуск, болезнь, текучесть)</t>
  </si>
  <si>
    <t xml:space="preserve">Надбавка к нормативной численности</t>
  </si>
  <si>
    <t xml:space="preserve">avg_route_m_per_line</t>
  </si>
  <si>
    <t xml:space="preserve">Маршруты и планировка</t>
  </si>
  <si>
    <t xml:space="preserve">Средняя длина маршрута отборщика на 1 строку</t>
  </si>
  <si>
    <t xml:space="preserve">conveyor_length_m</t>
  </si>
  <si>
    <t xml:space="preserve">Протяжённость конвейерной/транспортной системы</t>
  </si>
  <si>
    <t xml:space="preserve">0 если отсутствует</t>
  </si>
  <si>
    <t xml:space="preserve">rack_type</t>
  </si>
  <si>
    <t xml:space="preserve">Хранение и характеристики грузов</t>
  </si>
  <si>
    <t xml:space="preserve">Тип системы стеллажного хранения</t>
  </si>
  <si>
    <t xml:space="preserve">Стеллажи с челночными тележками</t>
  </si>
  <si>
    <t xml:space="preserve">Фронтальные паллетные | Стеллажи с челночными тележками | Автоматизированная система хранения с роботами | Автоматизированная система хранения коробов | Стеллажи с въездом погрузчика | Стеллажи с выдвижными паллетами</t>
  </si>
  <si>
    <t xml:space="preserve">pallet_places</t>
  </si>
  <si>
    <t xml:space="preserve">Количество паллетомест</t>
  </si>
  <si>
    <t xml:space="preserve">мест</t>
  </si>
  <si>
    <t xml:space="preserve">pallet_weight_kg</t>
  </si>
  <si>
    <t xml:space="preserve">Средняя масса паллеты</t>
  </si>
  <si>
    <t xml:space="preserve">кг</t>
  </si>
  <si>
    <t xml:space="preserve">Влияет на грузоподъёмность роботов</t>
  </si>
  <si>
    <t xml:space="preserve">sku_weight_kg</t>
  </si>
  <si>
    <t xml:space="preserve">Средняя масса штучной единицы</t>
  </si>
  <si>
    <t xml:space="preserve">Критично для G2P-систем</t>
  </si>
  <si>
    <t xml:space="preserve">pallet_dims_mm</t>
  </si>
  <si>
    <t xml:space="preserve">Габариты паллеты (Д×Ш×В)</t>
  </si>
  <si>
    <t xml:space="preserve">1200×800×1600</t>
  </si>
  <si>
    <t xml:space="preserve">мм</t>
  </si>
  <si>
    <t xml:space="preserve">Текст</t>
  </si>
  <si>
    <t xml:space="preserve">Евростандарт</t>
  </si>
  <si>
    <t xml:space="preserve">sku_dims_mm</t>
  </si>
  <si>
    <t xml:space="preserve">Габариты штучной единицы (Д×Ш×В)</t>
  </si>
  <si>
    <t xml:space="preserve">300×200×150</t>
  </si>
  <si>
    <t xml:space="preserve">oversized_share_pct</t>
  </si>
  <si>
    <t xml:space="preserve">Доля негабаритных/нестандартных грузов</t>
  </si>
  <si>
    <t xml:space="preserve">Нестандарт — барьер автоматизации, остаётся ручным</t>
  </si>
  <si>
    <t xml:space="preserve">charge_stations</t>
  </si>
  <si>
    <t xml:space="preserve">Инфраструктура и ограничения</t>
  </si>
  <si>
    <t xml:space="preserve">Зарядных станций</t>
  </si>
  <si>
    <t xml:space="preserve">Количество зарядных мест на каждом этаже сцены</t>
  </si>
  <si>
    <t xml:space="preserve">power_available_kw</t>
  </si>
  <si>
    <t xml:space="preserve">Доступная мощность электроснабжения</t>
  </si>
  <si>
    <t xml:space="preserve">кВт</t>
  </si>
  <si>
    <t xml:space="preserve">Для зарядных станций</t>
  </si>
  <si>
    <t xml:space="preserve">has_wms</t>
  </si>
  <si>
    <t xml:space="preserve">Наличие системы управления складом</t>
  </si>
  <si>
    <t xml:space="preserve">Да / Нет</t>
  </si>
  <si>
    <t xml:space="preserve">Да | Нет</t>
  </si>
  <si>
    <t xml:space="preserve">Обязательно для роботизации</t>
  </si>
  <si>
    <t xml:space="preserve">erp_type</t>
  </si>
  <si>
    <t xml:space="preserve">Система управления предприятием</t>
  </si>
  <si>
    <t xml:space="preserve">1С:ERP</t>
  </si>
  <si>
    <t xml:space="preserve">Система 1С для управления предприятием | Система SAP | Другая | Нет</t>
  </si>
  <si>
    <t xml:space="preserve">Интеграция интерфейс обмена данными / компонент для связи с другими программами</t>
  </si>
  <si>
    <t xml:space="preserve">capex_budget_mln</t>
  </si>
  <si>
    <t xml:space="preserve">Планируемый бюджет на роботизацию</t>
  </si>
  <si>
    <t xml:space="preserve">млн руб.</t>
  </si>
  <si>
    <t xml:space="preserve">Ориентир фильтрации; альтернативы — лизинг/роботы как услуга</t>
  </si>
  <si>
    <t xml:space="preserve">payback_horizon_years</t>
  </si>
  <si>
    <t xml:space="preserve">Горизонт расчёта окупаемости</t>
  </si>
  <si>
    <t xml:space="preserve">лет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</si>
  <si>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</si>
  <si>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</si>
  <si>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</si>
  <si>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Фронтальные паллетные</t>
  </si>
  <si>
    <t xml:space="preserve">Система 1С для управления предприятием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</si>
</sst>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true" outlineLevel="0" collapsed="false">
      <c r="A1" s="0" t="s">
        <v>12</v>
      </c>
      <c r="B1" s="0" t="s">
        <v>13</v>
      </c>
    </row>
    <row r="2" customFormat="false" ht="15" hidden="false" customHeight="true" outlineLevel="0" collapsed="false">
      <c r="A2" s="0" t="s">
        <v>14</v>
      </c>
      <c r="B2" s="0" t="s">
        <v>15</v>
      </c>
    </row>
    <row r="3" customFormat="false" ht="15" hidden="false" customHeight="true" outlineLevel="0" collapsed="false">
      <c r="A3" s="0" t="s">
        <v>16</v>
      </c>
      <c r="B3" s="0" t="s">
        <v>17</v>
      </c>
    </row>
    <row r="4" customFormat="false" ht="15" hidden="false" customHeight="tru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n">
        <v>20000</v>
      </c>
      <c r="E2" s="1" t="s">
        <v>37</v>
      </c>
      <c r="F2" s="1" t="s">
        <v>38</v>
      </c>
      <c r="G2" s="1" t="s">
        <v>39</v>
      </c>
      <c r="H2" s="1" t="n">
        <v>10000</v>
      </c>
      <c r="I2" s="1" t="n">
        <v>100000</v>
      </c>
      <c r="K2" s="1" t="s">
        <v>40</v>
      </c>
      <c r="L2" s="1" t="s">
        <v>41</v>
      </c>
      <c r="M2" s="1" t="s">
        <v>42</v>
      </c>
      <c r="N2" s="4" t="s">
        <v>43</v>
      </c>
    </row>
    <row r="3" s="1" customFormat="true" ht="54.75" hidden="false" customHeight="true" outlineLevel="0" collapsed="false">
      <c r="A3" s="1" t="s">
        <v>44</v>
      </c>
      <c r="B3" s="1" t="s">
        <v>35</v>
      </c>
      <c r="C3" s="1" t="s">
        <v>45</v>
      </c>
      <c r="D3" s="3" t="n">
        <v>10000</v>
      </c>
      <c r="E3" s="1" t="s">
        <v>37</v>
      </c>
      <c r="F3" s="1" t="s">
        <v>38</v>
      </c>
      <c r="G3" s="1" t="s">
        <v>39</v>
      </c>
      <c r="H3" s="1" t="n">
        <v>5000</v>
      </c>
      <c r="I3" s="1" t="n">
        <v>50000</v>
      </c>
      <c r="K3" s="1" t="s">
        <v>46</v>
      </c>
      <c r="N3" s="4"/>
    </row>
    <row r="4" s="1" customFormat="true" ht="54.75" hidden="false" customHeight="true" outlineLevel="0" collapsed="false">
      <c r="A4" s="1" t="s">
        <v>47</v>
      </c>
      <c r="B4" s="1" t="s">
        <v>35</v>
      </c>
      <c r="C4" s="1" t="s">
        <v>48</v>
      </c>
      <c r="D4" s="3" t="n">
        <v>10</v>
      </c>
      <c r="E4" s="1" t="s">
        <v>49</v>
      </c>
      <c r="F4" s="1" t="s">
        <v>38</v>
      </c>
      <c r="G4" s="1" t="s">
        <v>39</v>
      </c>
      <c r="H4" s="1" t="n">
        <v>5</v>
      </c>
      <c r="I4" s="1" t="n">
        <v>16</v>
      </c>
      <c r="K4" s="1" t="s">
        <v>50</v>
      </c>
      <c r="N4" s="4"/>
    </row>
    <row r="5" s="1" customFormat="true" ht="54.75" hidden="false" customHeight="true" outlineLevel="0" collapsed="false">
      <c r="A5" s="1" t="s">
        <v>51</v>
      </c>
      <c r="B5" s="1" t="s">
        <v>35</v>
      </c>
      <c r="C5" s="1" t="s">
        <v>52</v>
      </c>
      <c r="D5" s="3" t="n">
        <v>2</v>
      </c>
      <c r="E5" s="1" t="s">
        <v>53</v>
      </c>
      <c r="F5" s="1" t="s">
        <v>38</v>
      </c>
      <c r="G5" s="1" t="s">
        <v>54</v>
      </c>
      <c r="H5" s="1" t="n">
        <v>1</v>
      </c>
      <c r="I5" s="1" t="n">
        <v>3</v>
      </c>
      <c r="K5" s="1" t="s">
        <v>55</v>
      </c>
      <c r="N5" s="4"/>
    </row>
    <row r="6" s="1" customFormat="true" ht="54.75" hidden="false" customHeight="true" outlineLevel="0" collapsed="false">
      <c r="A6" s="1" t="s">
        <v>56</v>
      </c>
      <c r="B6" s="1" t="s">
        <v>35</v>
      </c>
      <c r="C6" s="1" t="s">
        <v>57</v>
      </c>
      <c r="D6" s="3" t="n">
        <v>8</v>
      </c>
      <c r="E6" s="1" t="s">
        <v>53</v>
      </c>
      <c r="F6" s="1" t="s">
        <v>38</v>
      </c>
      <c r="G6" s="1" t="s">
        <v>54</v>
      </c>
      <c r="H6" s="1" t="n">
        <v>0</v>
      </c>
      <c r="I6" s="1" t="n">
        <v>20</v>
      </c>
      <c r="K6" s="1" t="s">
        <v>58</v>
      </c>
      <c r="N6" s="4"/>
    </row>
    <row r="7" s="1" customFormat="true" ht="54.75" hidden="false" customHeight="true" outlineLevel="0" collapsed="false">
      <c r="A7" s="1" t="s">
        <v>59</v>
      </c>
      <c r="B7" s="1" t="s">
        <v>35</v>
      </c>
      <c r="C7" s="1" t="s">
        <v>60</v>
      </c>
      <c r="D7" s="3" t="n">
        <v>4</v>
      </c>
      <c r="E7" s="1" t="s">
        <v>53</v>
      </c>
      <c r="F7" s="1" t="s">
        <v>38</v>
      </c>
      <c r="G7" s="1" t="s">
        <v>54</v>
      </c>
      <c r="H7" s="1" t="n">
        <v>0</v>
      </c>
      <c r="I7" s="1" t="n">
        <v>6</v>
      </c>
      <c r="K7" s="1" t="s">
        <v>61</v>
      </c>
      <c r="N7" s="4"/>
    </row>
    <row r="8" s="1" customFormat="true" ht="54.75" hidden="false" customHeight="true" outlineLevel="0" collapsed="false">
      <c r="A8" s="1" t="s">
        <v>62</v>
      </c>
      <c r="B8" s="1" t="s">
        <v>35</v>
      </c>
      <c r="C8" s="1" t="s">
        <v>63</v>
      </c>
      <c r="D8" s="3" t="n">
        <v>3.5</v>
      </c>
      <c r="E8" s="1" t="s">
        <v>49</v>
      </c>
      <c r="F8" s="1" t="s">
        <v>38</v>
      </c>
      <c r="G8" s="1" t="s">
        <v>39</v>
      </c>
      <c r="H8" s="1" t="n">
        <v>2.5</v>
      </c>
      <c r="I8" s="1" t="n">
        <v>6</v>
      </c>
      <c r="K8" s="1" t="s">
        <v>64</v>
      </c>
      <c r="N8" s="4"/>
    </row>
    <row r="9" s="1" customFormat="true" ht="54.75" hidden="false" customHeight="true" outlineLevel="0" collapsed="false">
      <c r="A9" s="1" t="s">
        <v>65</v>
      </c>
      <c r="B9" s="1" t="s">
        <v>35</v>
      </c>
      <c r="C9" s="1" t="s">
        <v>66</v>
      </c>
      <c r="D9" s="3" t="n">
        <v>2.8</v>
      </c>
      <c r="E9" s="1" t="s">
        <v>49</v>
      </c>
      <c r="F9" s="1" t="s">
        <v>38</v>
      </c>
      <c r="G9" s="1" t="s">
        <v>39</v>
      </c>
      <c r="H9" s="1" t="n">
        <v>1.5</v>
      </c>
      <c r="I9" s="1" t="n">
        <v>4.5</v>
      </c>
      <c r="K9" s="1" t="s">
        <v>67</v>
      </c>
      <c r="N9" s="4"/>
    </row>
    <row r="10" s="1" customFormat="true" ht="54.75" hidden="false" customHeight="true" outlineLevel="0" collapsed="false">
      <c r="A10" s="1" t="s">
        <v>68</v>
      </c>
      <c r="B10" s="1" t="s">
        <v>35</v>
      </c>
      <c r="C10" s="1" t="s">
        <v>69</v>
      </c>
      <c r="D10" s="3" t="s">
        <v>70</v>
      </c>
      <c r="F10" s="1" t="s">
        <v>38</v>
      </c>
      <c r="G10" s="1" t="s">
        <v>71</v>
      </c>
      <c r="J10" s="1" t="s">
        <v>72</v>
      </c>
      <c r="K10" s="1" t="s">
        <v>73</v>
      </c>
      <c r="N10" s="4"/>
    </row>
    <row r="11" s="1" customFormat="true" ht="54.75" hidden="false" customHeight="true" outlineLevel="0" collapsed="false">
      <c r="A11" s="1" t="s">
        <v>74</v>
      </c>
      <c r="B11" s="1" t="s">
        <v>35</v>
      </c>
      <c r="C11" s="1" t="s">
        <v>75</v>
      </c>
      <c r="D11" s="3" t="n">
        <v>3</v>
      </c>
      <c r="E11" s="1" t="s">
        <v>76</v>
      </c>
      <c r="F11" s="1" t="s">
        <v>38</v>
      </c>
      <c r="G11" s="1" t="s">
        <v>39</v>
      </c>
      <c r="H11" s="1" t="n">
        <v>1</v>
      </c>
      <c r="I11" s="1" t="n">
        <v>8</v>
      </c>
      <c r="K11" s="1" t="s">
        <v>77</v>
      </c>
      <c r="N11" s="4"/>
    </row>
    <row r="12" s="1" customFormat="true" ht="54.75" hidden="false" customHeight="true" outlineLevel="0" collapsed="false">
      <c r="A12" s="1" t="s">
        <v>78</v>
      </c>
      <c r="B12" s="1" t="s">
        <v>79</v>
      </c>
      <c r="C12" s="1" t="s">
        <v>80</v>
      </c>
      <c r="D12" s="3" t="n">
        <v>2</v>
      </c>
      <c r="E12" s="1" t="s">
        <v>81</v>
      </c>
      <c r="F12" s="1" t="s">
        <v>38</v>
      </c>
      <c r="G12" s="1" t="s">
        <v>54</v>
      </c>
      <c r="H12" s="1" t="n">
        <v>1</v>
      </c>
      <c r="I12" s="1" t="n">
        <v>3</v>
      </c>
      <c r="K12" s="1" t="s">
        <v>82</v>
      </c>
      <c r="N12" s="4"/>
    </row>
    <row r="13" s="1" customFormat="true" ht="54.75" hidden="false" customHeight="true" outlineLevel="0" collapsed="false">
      <c r="A13" s="1" t="s">
        <v>83</v>
      </c>
      <c r="B13" s="1" t="s">
        <v>79</v>
      </c>
      <c r="C13" s="1" t="s">
        <v>84</v>
      </c>
      <c r="D13" s="3" t="n">
        <v>365</v>
      </c>
      <c r="E13" s="1" t="s">
        <v>85</v>
      </c>
      <c r="F13" s="1" t="s">
        <v>38</v>
      </c>
      <c r="G13" s="1" t="s">
        <v>54</v>
      </c>
      <c r="H13" s="1" t="n">
        <v>365</v>
      </c>
      <c r="I13" s="1" t="n">
        <v>365</v>
      </c>
      <c r="N13" s="4"/>
    </row>
    <row r="14" s="1" customFormat="true" ht="54.75" hidden="false" customHeight="true" outlineLevel="0" collapsed="false">
      <c r="A14" s="1" t="s">
        <v>86</v>
      </c>
      <c r="B14" s="1" t="s">
        <v>79</v>
      </c>
      <c r="C14" s="1" t="s">
        <v>87</v>
      </c>
      <c r="D14" s="3" t="n">
        <v>11</v>
      </c>
      <c r="E14" s="1" t="s">
        <v>88</v>
      </c>
      <c r="F14" s="1" t="s">
        <v>38</v>
      </c>
      <c r="G14" s="1" t="s">
        <v>39</v>
      </c>
      <c r="H14" s="1" t="n">
        <v>10</v>
      </c>
      <c r="I14" s="1" t="n">
        <v>11</v>
      </c>
      <c r="K14" s="1" t="s">
        <v>89</v>
      </c>
      <c r="N14" s="4"/>
    </row>
    <row r="15" s="1" customFormat="true" ht="54.75" hidden="false" customHeight="true" outlineLevel="0" collapsed="false">
      <c r="A15" s="1" t="s">
        <v>90</v>
      </c>
      <c r="B15" s="1" t="s">
        <v>79</v>
      </c>
      <c r="C15" s="1" t="s">
        <v>91</v>
      </c>
      <c r="D15" s="3" t="n">
        <v>1.5</v>
      </c>
      <c r="F15" s="1" t="s">
        <v>38</v>
      </c>
      <c r="G15" s="1" t="s">
        <v>39</v>
      </c>
      <c r="H15" s="1" t="n">
        <v>1.2</v>
      </c>
      <c r="I15" s="1" t="n">
        <v>2.5</v>
      </c>
      <c r="K15" s="1" t="s">
        <v>92</v>
      </c>
      <c r="N15" s="4"/>
    </row>
    <row r="16" s="1" customFormat="true" ht="54.75" hidden="false" customHeight="true" outlineLevel="0" collapsed="false">
      <c r="A16" s="1" t="s">
        <v>93</v>
      </c>
      <c r="B16" s="1" t="s">
        <v>94</v>
      </c>
      <c r="C16" s="1" t="s">
        <v>95</v>
      </c>
      <c r="D16" s="3" t="n">
        <v>1000</v>
      </c>
      <c r="E16" s="1" t="s">
        <v>96</v>
      </c>
      <c r="F16" s="1" t="s">
        <v>38</v>
      </c>
      <c r="G16" s="1" t="s">
        <v>39</v>
      </c>
      <c r="H16" s="1" t="n">
        <v>500</v>
      </c>
      <c r="I16" s="1" t="n">
        <v>5000</v>
      </c>
      <c r="N16" s="4"/>
    </row>
    <row r="17" s="1" customFormat="true" ht="54.75" hidden="false" customHeight="true" outlineLevel="0" collapsed="false">
      <c r="A17" s="1" t="s">
        <v>97</v>
      </c>
      <c r="B17" s="1" t="s">
        <v>94</v>
      </c>
      <c r="C17" s="1" t="s">
        <v>98</v>
      </c>
      <c r="D17" s="3" t="n">
        <v>1000</v>
      </c>
      <c r="E17" s="1" t="s">
        <v>96</v>
      </c>
      <c r="F17" s="1" t="s">
        <v>38</v>
      </c>
      <c r="G17" s="1" t="s">
        <v>39</v>
      </c>
      <c r="H17" s="1" t="n">
        <v>500</v>
      </c>
      <c r="I17" s="1" t="n">
        <v>5000</v>
      </c>
      <c r="K17" s="1" t="s">
        <v>99</v>
      </c>
      <c r="N17" s="4"/>
    </row>
    <row r="18" s="1" customFormat="true" ht="54.75" hidden="false" customHeight="true" outlineLevel="0" collapsed="false">
      <c r="A18" s="1" t="s">
        <v>100</v>
      </c>
      <c r="B18" s="1" t="s">
        <v>94</v>
      </c>
      <c r="C18" s="1" t="s">
        <v>101</v>
      </c>
      <c r="D18" s="3" t="n">
        <v>100000</v>
      </c>
      <c r="E18" s="1" t="s">
        <v>102</v>
      </c>
      <c r="F18" s="1" t="s">
        <v>38</v>
      </c>
      <c r="G18" s="1" t="s">
        <v>39</v>
      </c>
      <c r="H18" s="1" t="n">
        <v>50000</v>
      </c>
      <c r="I18" s="1" t="n">
        <v>500000</v>
      </c>
      <c r="K18" s="1" t="s">
        <v>103</v>
      </c>
      <c r="N18" s="4"/>
    </row>
    <row r="19" s="1" customFormat="true" ht="54.75" hidden="false" customHeight="true" outlineLevel="0" collapsed="false">
      <c r="A19" s="1" t="s">
        <v>104</v>
      </c>
      <c r="B19" s="1" t="s">
        <v>94</v>
      </c>
      <c r="C19" s="1" t="s">
        <v>105</v>
      </c>
      <c r="D19" s="3" t="n">
        <v>150000</v>
      </c>
      <c r="E19" s="1" t="s">
        <v>106</v>
      </c>
      <c r="F19" s="1" t="s">
        <v>38</v>
      </c>
      <c r="G19" s="1" t="s">
        <v>39</v>
      </c>
      <c r="H19" s="1" t="n">
        <v>75000</v>
      </c>
      <c r="I19" s="1" t="n">
        <v>750000</v>
      </c>
      <c r="K19" s="1" t="s">
        <v>107</v>
      </c>
      <c r="N19" s="4"/>
    </row>
    <row r="20" s="1" customFormat="true" ht="54.75" hidden="false" customHeight="true" outlineLevel="0" collapsed="false">
      <c r="A20" s="1" t="s">
        <v>108</v>
      </c>
      <c r="B20" s="1" t="s">
        <v>94</v>
      </c>
      <c r="C20" s="1" t="s">
        <v>109</v>
      </c>
      <c r="D20" s="3" t="n">
        <v>30</v>
      </c>
      <c r="E20" s="1" t="s">
        <v>110</v>
      </c>
      <c r="F20" s="1" t="s">
        <v>38</v>
      </c>
      <c r="G20" s="1" t="s">
        <v>39</v>
      </c>
      <c r="H20" s="1" t="n">
        <v>10</v>
      </c>
      <c r="I20" s="1" t="n">
        <v>80</v>
      </c>
      <c r="N20" s="4"/>
    </row>
    <row r="21" s="1" customFormat="true" ht="54.75" hidden="false" customHeight="true" outlineLevel="0" collapsed="false">
      <c r="A21" s="1" t="s">
        <v>111</v>
      </c>
      <c r="B21" s="1" t="s">
        <v>94</v>
      </c>
      <c r="C21" s="1" t="s">
        <v>112</v>
      </c>
      <c r="D21" s="3" t="n">
        <v>2000</v>
      </c>
      <c r="E21" s="1" t="s">
        <v>113</v>
      </c>
      <c r="F21" s="1" t="s">
        <v>38</v>
      </c>
      <c r="G21" s="1" t="s">
        <v>54</v>
      </c>
      <c r="H21" s="1" t="n">
        <v>1000</v>
      </c>
      <c r="I21" s="1" t="n">
        <v>10000</v>
      </c>
      <c r="K21" s="1" t="s">
        <v>114</v>
      </c>
      <c r="N21" s="4"/>
    </row>
    <row r="22" s="1" customFormat="true" ht="54.75" hidden="false" customHeight="true" outlineLevel="0" collapsed="false">
      <c r="A22" s="1" t="s">
        <v>115</v>
      </c>
      <c r="B22" s="1" t="s">
        <v>94</v>
      </c>
      <c r="C22" s="1" t="s">
        <v>116</v>
      </c>
      <c r="D22" s="3" t="n">
        <v>20</v>
      </c>
      <c r="E22" s="1" t="s">
        <v>110</v>
      </c>
      <c r="F22" s="1" t="s">
        <v>38</v>
      </c>
      <c r="G22" s="1" t="s">
        <v>39</v>
      </c>
      <c r="H22" s="1" t="n">
        <v>10</v>
      </c>
      <c r="I22" s="1" t="n">
        <v>40</v>
      </c>
      <c r="N22" s="4"/>
    </row>
    <row r="23" s="1" customFormat="true" ht="54.75" hidden="false" customHeight="true" outlineLevel="0" collapsed="false">
      <c r="A23" s="1" t="s">
        <v>117</v>
      </c>
      <c r="B23" s="1" t="s">
        <v>118</v>
      </c>
      <c r="C23" s="1" t="s">
        <v>119</v>
      </c>
      <c r="D23" s="3" t="n">
        <v>180</v>
      </c>
      <c r="E23" s="1" t="s">
        <v>120</v>
      </c>
      <c r="F23" s="1" t="s">
        <v>38</v>
      </c>
      <c r="G23" s="1" t="s">
        <v>54</v>
      </c>
      <c r="H23" s="1" t="n">
        <v>30</v>
      </c>
      <c r="I23" s="1" t="n">
        <v>700</v>
      </c>
      <c r="K23" s="1" t="s">
        <v>121</v>
      </c>
      <c r="N23" s="4"/>
    </row>
    <row r="24" s="1" customFormat="true" ht="54.75" hidden="false" customHeight="true" outlineLevel="0" collapsed="false">
      <c r="A24" s="1" t="s">
        <v>122</v>
      </c>
      <c r="B24" s="1" t="s">
        <v>118</v>
      </c>
      <c r="C24" s="1" t="s">
        <v>123</v>
      </c>
      <c r="D24" s="3" t="n">
        <v>100</v>
      </c>
      <c r="E24" s="1" t="s">
        <v>120</v>
      </c>
      <c r="F24" s="1" t="s">
        <v>38</v>
      </c>
      <c r="G24" s="1" t="s">
        <v>54</v>
      </c>
      <c r="H24" s="1" t="n">
        <v>15</v>
      </c>
      <c r="I24" s="1" t="n">
        <v>500</v>
      </c>
      <c r="K24" s="1" t="s">
        <v>124</v>
      </c>
      <c r="N24" s="4"/>
    </row>
    <row r="25" s="1" customFormat="true" ht="54.75" hidden="false" customHeight="true" outlineLevel="0" collapsed="false">
      <c r="A25" s="1" t="s">
        <v>125</v>
      </c>
      <c r="B25" s="1" t="s">
        <v>118</v>
      </c>
      <c r="C25" s="1" t="s">
        <v>126</v>
      </c>
      <c r="D25" s="3" t="n">
        <v>25</v>
      </c>
      <c r="E25" s="1" t="s">
        <v>120</v>
      </c>
      <c r="F25" s="1" t="s">
        <v>38</v>
      </c>
      <c r="G25" s="1" t="s">
        <v>54</v>
      </c>
      <c r="H25" s="1" t="n">
        <v>5</v>
      </c>
      <c r="I25" s="1" t="n">
        <v>80</v>
      </c>
      <c r="K25" s="1" t="s">
        <v>127</v>
      </c>
      <c r="N25" s="4"/>
    </row>
    <row r="26" s="1" customFormat="true" ht="54.75" hidden="false" customHeight="true" outlineLevel="0" collapsed="false">
      <c r="A26" s="1" t="s">
        <v>128</v>
      </c>
      <c r="B26" s="1" t="s">
        <v>118</v>
      </c>
      <c r="C26" s="1" t="s">
        <v>129</v>
      </c>
      <c r="D26" s="3" t="n">
        <v>20</v>
      </c>
      <c r="E26" s="1" t="s">
        <v>120</v>
      </c>
      <c r="F26" s="1" t="s">
        <v>38</v>
      </c>
      <c r="G26" s="1" t="s">
        <v>54</v>
      </c>
      <c r="H26" s="1" t="n">
        <v>5</v>
      </c>
      <c r="I26" s="1" t="n">
        <v>60</v>
      </c>
      <c r="K26" s="1" t="s">
        <v>130</v>
      </c>
      <c r="N26" s="4"/>
    </row>
    <row r="27" s="1" customFormat="true" ht="54.75" hidden="false" customHeight="true" outlineLevel="0" collapsed="false">
      <c r="A27" s="1" t="s">
        <v>131</v>
      </c>
      <c r="B27" s="1" t="s">
        <v>118</v>
      </c>
      <c r="C27" s="1" t="s">
        <v>132</v>
      </c>
      <c r="D27" s="3" t="n">
        <v>100000</v>
      </c>
      <c r="E27" s="1" t="s">
        <v>133</v>
      </c>
      <c r="F27" s="1" t="s">
        <v>38</v>
      </c>
      <c r="G27" s="1" t="s">
        <v>39</v>
      </c>
      <c r="H27" s="1" t="n">
        <v>70000</v>
      </c>
      <c r="I27" s="1" t="n">
        <v>150000</v>
      </c>
      <c r="N27" s="4"/>
    </row>
    <row r="28" s="1" customFormat="true" ht="54.75" hidden="false" customHeight="true" outlineLevel="0" collapsed="false">
      <c r="A28" s="1" t="s">
        <v>134</v>
      </c>
      <c r="B28" s="1" t="s">
        <v>118</v>
      </c>
      <c r="C28" s="1" t="s">
        <v>135</v>
      </c>
      <c r="D28" s="3" t="n">
        <v>120000</v>
      </c>
      <c r="E28" s="1" t="s">
        <v>133</v>
      </c>
      <c r="F28" s="1" t="s">
        <v>38</v>
      </c>
      <c r="G28" s="1" t="s">
        <v>39</v>
      </c>
      <c r="H28" s="1" t="n">
        <v>80000</v>
      </c>
      <c r="I28" s="1" t="n">
        <v>170000</v>
      </c>
      <c r="K28" s="1" t="s">
        <v>136</v>
      </c>
      <c r="N28" s="4"/>
    </row>
    <row r="29" s="1" customFormat="true" ht="54.75" hidden="false" customHeight="true" outlineLevel="0" collapsed="false">
      <c r="A29" s="1" t="s">
        <v>137</v>
      </c>
      <c r="B29" s="1" t="s">
        <v>118</v>
      </c>
      <c r="C29" s="1" t="s">
        <v>138</v>
      </c>
      <c r="D29" s="3" t="n">
        <v>1.302</v>
      </c>
      <c r="F29" s="1" t="s">
        <v>38</v>
      </c>
      <c r="G29" s="1" t="s">
        <v>39</v>
      </c>
      <c r="H29" s="1" t="n">
        <v>1.302</v>
      </c>
      <c r="I29" s="1" t="n">
        <v>1.302</v>
      </c>
      <c r="K29" s="1" t="s">
        <v>139</v>
      </c>
      <c r="N29" s="4"/>
    </row>
    <row r="30" s="1" customFormat="true" ht="54.75" hidden="false" customHeight="true" outlineLevel="0" collapsed="false">
      <c r="A30" s="1" t="s">
        <v>140</v>
      </c>
      <c r="B30" s="1" t="s">
        <v>118</v>
      </c>
      <c r="C30" s="1" t="s">
        <v>141</v>
      </c>
      <c r="D30" s="3" t="n">
        <v>150</v>
      </c>
      <c r="E30" s="1" t="s">
        <v>142</v>
      </c>
      <c r="F30" s="1" t="s">
        <v>38</v>
      </c>
      <c r="G30" s="1" t="s">
        <v>39</v>
      </c>
      <c r="H30" s="1" t="n">
        <v>80</v>
      </c>
      <c r="I30" s="1" t="n">
        <v>200</v>
      </c>
      <c r="K30" s="1" t="s">
        <v>143</v>
      </c>
      <c r="N30" s="4"/>
    </row>
    <row r="31" s="1" customFormat="true" ht="54.75" hidden="false" customHeight="true" outlineLevel="0" collapsed="false">
      <c r="A31" s="1" t="s">
        <v>144</v>
      </c>
      <c r="B31" s="1" t="s">
        <v>118</v>
      </c>
      <c r="C31" s="1" t="s">
        <v>145</v>
      </c>
      <c r="D31" s="3" t="n">
        <v>25</v>
      </c>
      <c r="E31" s="1" t="s">
        <v>110</v>
      </c>
      <c r="F31" s="1" t="s">
        <v>38</v>
      </c>
      <c r="G31" s="1" t="s">
        <v>39</v>
      </c>
      <c r="H31" s="1" t="n">
        <v>15</v>
      </c>
      <c r="I31" s="1" t="n">
        <v>35</v>
      </c>
      <c r="K31" s="1" t="s">
        <v>146</v>
      </c>
      <c r="N31" s="4"/>
    </row>
    <row r="32" s="1" customFormat="true" ht="54.75" hidden="false" customHeight="true" outlineLevel="0" collapsed="false">
      <c r="A32" s="1" t="s">
        <v>147</v>
      </c>
      <c r="B32" s="1" t="s">
        <v>148</v>
      </c>
      <c r="C32" s="1" t="s">
        <v>149</v>
      </c>
      <c r="D32" s="3" t="n">
        <v>25</v>
      </c>
      <c r="E32" s="1" t="s">
        <v>49</v>
      </c>
      <c r="F32" s="1" t="s">
        <v>38</v>
      </c>
      <c r="G32" s="1" t="s">
        <v>39</v>
      </c>
      <c r="H32" s="1" t="n">
        <v>15</v>
      </c>
      <c r="I32" s="1" t="n">
        <v>60</v>
      </c>
      <c r="N32" s="4"/>
    </row>
    <row r="33" s="1" customFormat="true" ht="54.75" hidden="false" customHeight="true" outlineLevel="0" collapsed="false">
      <c r="A33" s="1" t="s">
        <v>150</v>
      </c>
      <c r="B33" s="1" t="s">
        <v>148</v>
      </c>
      <c r="C33" s="1" t="s">
        <v>151</v>
      </c>
      <c r="D33" s="3" t="n">
        <v>350</v>
      </c>
      <c r="E33" s="1" t="s">
        <v>49</v>
      </c>
      <c r="F33" s="1" t="s">
        <v>38</v>
      </c>
      <c r="G33" s="1" t="s">
        <v>39</v>
      </c>
      <c r="H33" s="1" t="n">
        <v>0</v>
      </c>
      <c r="I33" s="1" t="n">
        <v>2000</v>
      </c>
      <c r="K33" s="1" t="s">
        <v>152</v>
      </c>
      <c r="N33" s="4"/>
    </row>
    <row r="34" s="1" customFormat="true" ht="54.75" hidden="false" customHeight="true" outlineLevel="0" collapsed="false">
      <c r="A34" s="1" t="s">
        <v>153</v>
      </c>
      <c r="B34" s="1" t="s">
        <v>154</v>
      </c>
      <c r="C34" s="1" t="s">
        <v>155</v>
      </c>
      <c r="D34" s="3" t="s">
        <v>156</v>
      </c>
      <c r="F34" s="1" t="s">
        <v>38</v>
      </c>
      <c r="G34" s="1" t="s">
        <v>71</v>
      </c>
      <c r="J34" s="1" t="s">
        <v>157</v>
      </c>
      <c r="N34" s="4"/>
    </row>
    <row r="35" s="1" customFormat="true" ht="54.75" hidden="false" customHeight="true" outlineLevel="0" collapsed="false">
      <c r="A35" s="1" t="s">
        <v>158</v>
      </c>
      <c r="B35" s="1" t="s">
        <v>154</v>
      </c>
      <c r="C35" s="1" t="s">
        <v>159</v>
      </c>
      <c r="D35" s="3" t="n">
        <v>20000</v>
      </c>
      <c r="E35" s="1" t="s">
        <v>160</v>
      </c>
      <c r="F35" s="1" t="s">
        <v>38</v>
      </c>
      <c r="G35" s="1" t="s">
        <v>54</v>
      </c>
      <c r="H35" s="1" t="n">
        <v>10000</v>
      </c>
      <c r="I35" s="1" t="n">
        <v>100000</v>
      </c>
      <c r="N35" s="4"/>
    </row>
    <row r="36" s="1" customFormat="true" ht="54.75" hidden="false" customHeight="true" outlineLevel="0" collapsed="false">
      <c r="A36" s="1" t="s">
        <v>161</v>
      </c>
      <c r="B36" s="1" t="s">
        <v>154</v>
      </c>
      <c r="C36" s="1" t="s">
        <v>162</v>
      </c>
      <c r="D36" s="3" t="n">
        <v>800</v>
      </c>
      <c r="E36" s="1" t="s">
        <v>163</v>
      </c>
      <c r="F36" s="1" t="s">
        <v>38</v>
      </c>
      <c r="G36" s="1" t="s">
        <v>39</v>
      </c>
      <c r="H36" s="1" t="n">
        <v>200</v>
      </c>
      <c r="I36" s="1" t="n">
        <v>1500</v>
      </c>
      <c r="K36" s="1" t="s">
        <v>164</v>
      </c>
      <c r="N36" s="4"/>
    </row>
    <row r="37" s="1" customFormat="true" ht="54.75" hidden="false" customHeight="true" outlineLevel="0" collapsed="false">
      <c r="A37" s="1" t="s">
        <v>165</v>
      </c>
      <c r="B37" s="1" t="s">
        <v>154</v>
      </c>
      <c r="C37" s="1" t="s">
        <v>166</v>
      </c>
      <c r="D37" s="3" t="n">
        <v>1.8</v>
      </c>
      <c r="E37" s="1" t="s">
        <v>163</v>
      </c>
      <c r="F37" s="1" t="s">
        <v>38</v>
      </c>
      <c r="G37" s="1" t="s">
        <v>39</v>
      </c>
      <c r="H37" s="1" t="n">
        <v>0.1</v>
      </c>
      <c r="I37" s="1" t="n">
        <v>20</v>
      </c>
      <c r="K37" s="1" t="s">
        <v>167</v>
      </c>
      <c r="N37" s="4"/>
    </row>
    <row r="38" s="1" customFormat="true" ht="54.75" hidden="false" customHeight="true" outlineLevel="0" collapsed="false">
      <c r="A38" s="1" t="s">
        <v>168</v>
      </c>
      <c r="B38" s="1" t="s">
        <v>154</v>
      </c>
      <c r="C38" s="1" t="s">
        <v>169</v>
      </c>
      <c r="D38" s="3" t="s">
        <v>170</v>
      </c>
      <c r="E38" s="1" t="s">
        <v>171</v>
      </c>
      <c r="F38" s="1" t="s">
        <v>38</v>
      </c>
      <c r="G38" s="1" t="s">
        <v>172</v>
      </c>
      <c r="K38" s="1" t="s">
        <v>173</v>
      </c>
      <c r="N38" s="4"/>
    </row>
    <row r="39" s="1" customFormat="true" ht="54.75" hidden="false" customHeight="true" outlineLevel="0" collapsed="false">
      <c r="A39" s="1" t="s">
        <v>174</v>
      </c>
      <c r="B39" s="1" t="s">
        <v>154</v>
      </c>
      <c r="C39" s="1" t="s">
        <v>175</v>
      </c>
      <c r="D39" s="3" t="s">
        <v>176</v>
      </c>
      <c r="E39" s="1" t="s">
        <v>171</v>
      </c>
      <c r="F39" s="1" t="s">
        <v>38</v>
      </c>
      <c r="G39" s="1" t="s">
        <v>172</v>
      </c>
      <c r="N39" s="4"/>
    </row>
    <row r="40" s="1" customFormat="true" ht="54.75" hidden="false" customHeight="true" outlineLevel="0" collapsed="false">
      <c r="A40" s="1" t="s">
        <v>177</v>
      </c>
      <c r="B40" s="1" t="s">
        <v>154</v>
      </c>
      <c r="C40" s="1" t="s">
        <v>178</v>
      </c>
      <c r="D40" s="3" t="n">
        <v>5</v>
      </c>
      <c r="E40" s="1" t="s">
        <v>110</v>
      </c>
      <c r="F40" s="1" t="s">
        <v>38</v>
      </c>
      <c r="G40" s="1" t="s">
        <v>39</v>
      </c>
      <c r="H40" s="1" t="n">
        <v>0</v>
      </c>
      <c r="I40" s="1" t="n">
        <v>30</v>
      </c>
      <c r="K40" s="1" t="s">
        <v>179</v>
      </c>
      <c r="N40" s="4"/>
    </row>
    <row r="41" s="1" customFormat="true" ht="54.75" hidden="false" customHeight="true" outlineLevel="0" collapsed="false">
      <c r="A41" s="1" t="s">
        <v>180</v>
      </c>
      <c r="B41" s="1" t="s">
        <v>181</v>
      </c>
      <c r="C41" s="1" t="s">
        <v>182</v>
      </c>
      <c r="D41" s="3" t="n">
        <v>3</v>
      </c>
      <c r="E41" s="1" t="s">
        <v>53</v>
      </c>
      <c r="F41" s="1" t="s">
        <v>38</v>
      </c>
      <c r="G41" s="1" t="s">
        <v>54</v>
      </c>
      <c r="H41" s="1" t="n">
        <v>1</v>
      </c>
      <c r="I41" s="1" t="n">
        <v>6</v>
      </c>
      <c r="K41" s="1" t="s">
        <v>183</v>
      </c>
      <c r="N41" s="4"/>
    </row>
    <row r="42" s="1" customFormat="true" ht="54.75" hidden="false" customHeight="true" outlineLevel="0" collapsed="false">
      <c r="A42" s="1" t="s">
        <v>184</v>
      </c>
      <c r="B42" s="1" t="s">
        <v>181</v>
      </c>
      <c r="C42" s="1" t="s">
        <v>185</v>
      </c>
      <c r="D42" s="3" t="n">
        <v>500</v>
      </c>
      <c r="E42" s="1" t="s">
        <v>186</v>
      </c>
      <c r="F42" s="1" t="s">
        <v>38</v>
      </c>
      <c r="G42" s="1" t="s">
        <v>39</v>
      </c>
      <c r="H42" s="1" t="n">
        <v>100</v>
      </c>
      <c r="I42" s="1" t="n">
        <v>3000</v>
      </c>
      <c r="K42" s="1" t="s">
        <v>187</v>
      </c>
      <c r="N42" s="4"/>
    </row>
    <row r="43" s="1" customFormat="true" ht="54.75" hidden="false" customHeight="true" outlineLevel="0" collapsed="false">
      <c r="A43" s="1" t="s">
        <v>188</v>
      </c>
      <c r="B43" s="1" t="s">
        <v>181</v>
      </c>
      <c r="C43" s="1" t="s">
        <v>189</v>
      </c>
      <c r="D43" s="3" t="s">
        <v>38</v>
      </c>
      <c r="F43" s="1" t="s">
        <v>38</v>
      </c>
      <c r="G43" s="1" t="s">
        <v>190</v>
      </c>
      <c r="J43" s="1" t="s">
        <v>191</v>
      </c>
      <c r="K43" s="1" t="s">
        <v>192</v>
      </c>
      <c r="N43" s="4"/>
    </row>
    <row r="44" s="1" customFormat="true" ht="54.75" hidden="false" customHeight="true" outlineLevel="0" collapsed="false">
      <c r="A44" s="1" t="s">
        <v>193</v>
      </c>
      <c r="B44" s="1" t="s">
        <v>181</v>
      </c>
      <c r="C44" s="1" t="s">
        <v>194</v>
      </c>
      <c r="D44" s="3" t="s">
        <v>195</v>
      </c>
      <c r="F44" s="1" t="s">
        <v>38</v>
      </c>
      <c r="G44" s="1" t="s">
        <v>71</v>
      </c>
      <c r="J44" s="1" t="s">
        <v>196</v>
      </c>
      <c r="K44" s="1" t="s">
        <v>197</v>
      </c>
      <c r="N44" s="4"/>
    </row>
    <row r="45" s="1" customFormat="true" ht="54.75" hidden="false" customHeight="true" outlineLevel="0" collapsed="false">
      <c r="A45" s="1" t="s">
        <v>198</v>
      </c>
      <c r="B45" s="1" t="s">
        <v>181</v>
      </c>
      <c r="C45" s="1" t="s">
        <v>199</v>
      </c>
      <c r="D45" s="3" t="n">
        <v>80</v>
      </c>
      <c r="E45" s="1" t="s">
        <v>200</v>
      </c>
      <c r="F45" s="1" t="s">
        <v>38</v>
      </c>
      <c r="G45" s="1" t="s">
        <v>39</v>
      </c>
      <c r="H45" s="1" t="n">
        <v>10</v>
      </c>
      <c r="I45" s="1" t="n">
        <v>500</v>
      </c>
      <c r="K45" s="1" t="s">
        <v>201</v>
      </c>
      <c r="N45" s="4"/>
    </row>
    <row r="46" s="1" customFormat="true" ht="54.75" hidden="false" customHeight="true" outlineLevel="0" collapsed="false">
      <c r="A46" s="1" t="s">
        <v>202</v>
      </c>
      <c r="B46" s="1" t="s">
        <v>181</v>
      </c>
      <c r="C46" s="1" t="s">
        <v>203</v>
      </c>
      <c r="D46" s="3" t="n">
        <v>5</v>
      </c>
      <c r="E46" s="1" t="s">
        <v>204</v>
      </c>
      <c r="F46" s="1" t="s">
        <v>38</v>
      </c>
      <c r="G46" s="1" t="s">
        <v>54</v>
      </c>
      <c r="H46" s="1" t="n">
        <v>3</v>
      </c>
      <c r="I46" s="1" t="n">
        <v>10</v>
      </c>
      <c r="N46" s="4"/>
    </row>
  </sheetData>
  <dataValidations count="4">
    <dataValidation allowBlank="true" error="Выберите значение из списка." errorStyle="stop" errorTitle="Недопустимый ответ" operator="between" showDropDown="false" showErrorMessage="true" showInputMessage="false" sqref="D10" type="list">
      <formula1>"Промышленный бетон,Эпоксид,Асфальт"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34" type="list">
      <formula1>"Фронтальные паллетные,Стеллажи с челночными тележками,Автоматизированная система хранения с роботами,Автоматизированная система хранения коробов,Стеллажи с въездом погрузчика,Стеллажи с выдвижными паллетами"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3" type="list">
      <formula1>"Да,Нет"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4" type="list">
      <formula1>"Система 1С для управления предприятием,Система SAP,Другая,Нет"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5" t="s">
        <v>205</v>
      </c>
      <c r="B1" s="5" t="s">
        <v>22</v>
      </c>
      <c r="C1" s="5" t="s">
        <v>24</v>
      </c>
      <c r="D1" s="5" t="s">
        <v>206</v>
      </c>
      <c r="E1" s="5" t="s">
        <v>207</v>
      </c>
    </row>
    <row r="2" customFormat="false" ht="42" hidden="false" customHeight="true" outlineLevel="0" collapsed="false">
      <c r="A2" s="1" t="s">
        <v>35</v>
      </c>
      <c r="B2" s="1" t="s">
        <v>36</v>
      </c>
      <c r="C2" s="1" t="s">
        <v>37</v>
      </c>
      <c r="D2" s="1" t="s">
        <v>40</v>
      </c>
      <c r="E2" s="1" t="n">
        <v>20000</v>
      </c>
    </row>
    <row r="3" customFormat="false" ht="42" hidden="false" customHeight="true" outlineLevel="0" collapsed="false">
      <c r="A3" s="1" t="s">
        <v>35</v>
      </c>
      <c r="B3" s="1" t="s">
        <v>45</v>
      </c>
      <c r="C3" s="1" t="s">
        <v>37</v>
      </c>
      <c r="D3" s="1" t="s">
        <v>46</v>
      </c>
      <c r="E3" s="1" t="n">
        <v>10000</v>
      </c>
    </row>
    <row r="4" customFormat="false" ht="42" hidden="false" customHeight="true" outlineLevel="0" collapsed="false">
      <c r="A4" s="1" t="s">
        <v>35</v>
      </c>
      <c r="B4" s="1" t="s">
        <v>48</v>
      </c>
      <c r="C4" s="1" t="s">
        <v>49</v>
      </c>
      <c r="D4" s="1" t="s">
        <v>50</v>
      </c>
      <c r="E4" s="1" t="n">
        <v>10</v>
      </c>
    </row>
    <row r="5" customFormat="false" ht="42" hidden="false" customHeight="true" outlineLevel="0" collapsed="false">
      <c r="A5" s="1" t="s">
        <v>35</v>
      </c>
      <c r="B5" s="1" t="s">
        <v>52</v>
      </c>
      <c r="C5" s="1" t="s">
        <v>53</v>
      </c>
      <c r="D5" s="1" t="s">
        <v>55</v>
      </c>
      <c r="E5" s="1" t="n">
        <v>2</v>
      </c>
    </row>
    <row r="6" customFormat="false" ht="42" hidden="false" customHeight="true" outlineLevel="0" collapsed="false">
      <c r="A6" s="1" t="s">
        <v>35</v>
      </c>
      <c r="B6" s="1" t="s">
        <v>57</v>
      </c>
      <c r="C6" s="1" t="s">
        <v>53</v>
      </c>
      <c r="D6" s="1" t="s">
        <v>58</v>
      </c>
      <c r="E6" s="1" t="n">
        <v>8</v>
      </c>
    </row>
    <row r="7" customFormat="false" ht="42" hidden="false" customHeight="true" outlineLevel="0" collapsed="false">
      <c r="A7" s="1" t="s">
        <v>35</v>
      </c>
      <c r="B7" s="1" t="s">
        <v>60</v>
      </c>
      <c r="C7" s="1" t="s">
        <v>53</v>
      </c>
      <c r="D7" s="1" t="s">
        <v>61</v>
      </c>
      <c r="E7" s="1" t="n">
        <v>4</v>
      </c>
    </row>
    <row r="8" customFormat="false" ht="42" hidden="false" customHeight="true" outlineLevel="0" collapsed="false">
      <c r="A8" s="1" t="s">
        <v>35</v>
      </c>
      <c r="B8" s="1" t="s">
        <v>63</v>
      </c>
      <c r="C8" s="1" t="s">
        <v>49</v>
      </c>
      <c r="D8" s="1" t="s">
        <v>64</v>
      </c>
      <c r="E8" s="1" t="n">
        <v>3.5</v>
      </c>
    </row>
    <row r="9" customFormat="false" ht="42" hidden="false" customHeight="true" outlineLevel="0" collapsed="false">
      <c r="A9" s="1" t="s">
        <v>35</v>
      </c>
      <c r="B9" s="1" t="s">
        <v>66</v>
      </c>
      <c r="C9" s="1" t="s">
        <v>49</v>
      </c>
      <c r="D9" s="1" t="s">
        <v>67</v>
      </c>
      <c r="E9" s="1" t="n">
        <v>2.8</v>
      </c>
    </row>
    <row r="10" customFormat="false" ht="42" hidden="false" customHeight="true" outlineLevel="0" collapsed="false">
      <c r="A10" s="1" t="s">
        <v>35</v>
      </c>
      <c r="B10" s="1" t="s">
        <v>69</v>
      </c>
      <c r="D10" s="1" t="s">
        <v>73</v>
      </c>
      <c r="E10" s="1" t="s">
        <v>70</v>
      </c>
    </row>
    <row r="11" customFormat="false" ht="42" hidden="false" customHeight="true" outlineLevel="0" collapsed="false">
      <c r="A11" s="1" t="s">
        <v>35</v>
      </c>
      <c r="B11" s="1" t="s">
        <v>75</v>
      </c>
      <c r="C11" s="1" t="s">
        <v>76</v>
      </c>
      <c r="D11" s="1" t="s">
        <v>77</v>
      </c>
      <c r="E11" s="1" t="n">
        <v>3</v>
      </c>
    </row>
    <row r="12" customFormat="false" ht="42" hidden="false" customHeight="tru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n">
        <v>2</v>
      </c>
    </row>
    <row r="13" customFormat="false" ht="42" hidden="false" customHeight="true" outlineLevel="0" collapsed="false">
      <c r="A13" s="1" t="s">
        <v>79</v>
      </c>
      <c r="B13" s="1" t="s">
        <v>84</v>
      </c>
      <c r="C13" s="1" t="s">
        <v>85</v>
      </c>
      <c r="E13" s="1" t="n">
        <v>365</v>
      </c>
    </row>
    <row r="14" customFormat="false" ht="42" hidden="false" customHeight="true" outlineLevel="0" collapsed="false">
      <c r="A14" s="1" t="s">
        <v>79</v>
      </c>
      <c r="B14" s="1" t="s">
        <v>87</v>
      </c>
      <c r="C14" s="1" t="s">
        <v>88</v>
      </c>
      <c r="D14" s="1" t="s">
        <v>89</v>
      </c>
      <c r="E14" s="1" t="n">
        <v>11</v>
      </c>
    </row>
    <row r="15" customFormat="false" ht="42" hidden="false" customHeight="true" outlineLevel="0" collapsed="false">
      <c r="A15" s="1" t="s">
        <v>79</v>
      </c>
      <c r="B15" s="1" t="s">
        <v>91</v>
      </c>
      <c r="D15" s="1" t="s">
        <v>92</v>
      </c>
      <c r="E15" s="1" t="n">
        <v>1.5</v>
      </c>
    </row>
    <row r="16" customFormat="false" ht="42" hidden="false" customHeight="true" outlineLevel="0" collapsed="false">
      <c r="A16" s="1" t="s">
        <v>94</v>
      </c>
      <c r="B16" s="1" t="s">
        <v>95</v>
      </c>
      <c r="C16" s="1" t="s">
        <v>96</v>
      </c>
      <c r="E16" s="1" t="n">
        <v>1000</v>
      </c>
    </row>
    <row r="17" customFormat="false" ht="42" hidden="false" customHeight="true" outlineLevel="0" collapsed="false">
      <c r="A17" s="1" t="s">
        <v>94</v>
      </c>
      <c r="B17" s="1" t="s">
        <v>98</v>
      </c>
      <c r="C17" s="1" t="s">
        <v>96</v>
      </c>
      <c r="D17" s="1" t="s">
        <v>99</v>
      </c>
      <c r="E17" s="1" t="n">
        <v>1000</v>
      </c>
    </row>
    <row r="18" customFormat="false" ht="42" hidden="false" customHeight="true" outlineLevel="0" collapsed="false">
      <c r="A18" s="1" t="s">
        <v>94</v>
      </c>
      <c r="B18" s="1" t="s">
        <v>101</v>
      </c>
      <c r="C18" s="1" t="s">
        <v>102</v>
      </c>
      <c r="D18" s="1" t="s">
        <v>103</v>
      </c>
      <c r="E18" s="1" t="n">
        <v>100000</v>
      </c>
    </row>
    <row r="19" customFormat="false" ht="42" hidden="false" customHeight="true" outlineLevel="0" collapsed="false">
      <c r="A19" s="1" t="s">
        <v>94</v>
      </c>
      <c r="B19" s="1" t="s">
        <v>105</v>
      </c>
      <c r="C19" s="1" t="s">
        <v>106</v>
      </c>
      <c r="D19" s="1" t="s">
        <v>107</v>
      </c>
      <c r="E19" s="1" t="n">
        <v>150000</v>
      </c>
    </row>
    <row r="20" customFormat="false" ht="42" hidden="false" customHeight="true" outlineLevel="0" collapsed="false">
      <c r="A20" s="1" t="s">
        <v>94</v>
      </c>
      <c r="B20" s="1" t="s">
        <v>109</v>
      </c>
      <c r="C20" s="1" t="s">
        <v>110</v>
      </c>
      <c r="E20" s="1" t="n">
        <v>30</v>
      </c>
    </row>
    <row r="21" customFormat="false" ht="42" hidden="false" customHeight="true" outlineLevel="0" collapsed="false">
      <c r="A21" s="1" t="s">
        <v>94</v>
      </c>
      <c r="B21" s="1" t="s">
        <v>112</v>
      </c>
      <c r="C21" s="1" t="s">
        <v>113</v>
      </c>
      <c r="D21" s="1" t="s">
        <v>114</v>
      </c>
      <c r="E21" s="1" t="n">
        <v>2000</v>
      </c>
    </row>
    <row r="22" customFormat="false" ht="42" hidden="false" customHeight="true" outlineLevel="0" collapsed="false">
      <c r="A22" s="1" t="s">
        <v>94</v>
      </c>
      <c r="B22" s="1" t="s">
        <v>116</v>
      </c>
      <c r="C22" s="1" t="s">
        <v>110</v>
      </c>
      <c r="E22" s="1" t="n">
        <v>20</v>
      </c>
    </row>
    <row r="23" customFormat="false" ht="42" hidden="false" customHeight="true" outlineLevel="0" collapsed="false">
      <c r="A23" s="1" t="s">
        <v>118</v>
      </c>
      <c r="B23" s="1" t="s">
        <v>119</v>
      </c>
      <c r="C23" s="1" t="s">
        <v>120</v>
      </c>
      <c r="D23" s="1" t="s">
        <v>121</v>
      </c>
      <c r="E23" s="1" t="n">
        <v>180</v>
      </c>
    </row>
    <row r="24" customFormat="false" ht="42" hidden="false" customHeight="true" outlineLevel="0" collapsed="false">
      <c r="A24" s="1" t="s">
        <v>118</v>
      </c>
      <c r="B24" s="1" t="s">
        <v>123</v>
      </c>
      <c r="C24" s="1" t="s">
        <v>120</v>
      </c>
      <c r="D24" s="1" t="s">
        <v>124</v>
      </c>
      <c r="E24" s="1" t="n">
        <v>100</v>
      </c>
    </row>
    <row r="25" customFormat="false" ht="42" hidden="false" customHeight="true" outlineLevel="0" collapsed="false">
      <c r="A25" s="1" t="s">
        <v>118</v>
      </c>
      <c r="B25" s="1" t="s">
        <v>126</v>
      </c>
      <c r="C25" s="1" t="s">
        <v>120</v>
      </c>
      <c r="D25" s="1" t="s">
        <v>127</v>
      </c>
      <c r="E25" s="1" t="n">
        <v>25</v>
      </c>
    </row>
    <row r="26" customFormat="false" ht="42" hidden="false" customHeight="true" outlineLevel="0" collapsed="false">
      <c r="A26" s="1" t="s">
        <v>118</v>
      </c>
      <c r="B26" s="1" t="s">
        <v>129</v>
      </c>
      <c r="C26" s="1" t="s">
        <v>120</v>
      </c>
      <c r="D26" s="1" t="s">
        <v>130</v>
      </c>
      <c r="E26" s="1" t="n">
        <v>20</v>
      </c>
    </row>
    <row r="27" customFormat="false" ht="42" hidden="false" customHeight="true" outlineLevel="0" collapsed="false">
      <c r="A27" s="1" t="s">
        <v>118</v>
      </c>
      <c r="B27" s="1" t="s">
        <v>132</v>
      </c>
      <c r="C27" s="1" t="s">
        <v>133</v>
      </c>
      <c r="E27" s="1" t="n">
        <v>100000</v>
      </c>
    </row>
    <row r="28" customFormat="false" ht="42" hidden="false" customHeight="true" outlineLevel="0" collapsed="false">
      <c r="A28" s="1" t="s">
        <v>118</v>
      </c>
      <c r="B28" s="1" t="s">
        <v>135</v>
      </c>
      <c r="C28" s="1" t="s">
        <v>133</v>
      </c>
      <c r="D28" s="1" t="s">
        <v>136</v>
      </c>
      <c r="E28" s="1" t="n">
        <v>120000</v>
      </c>
    </row>
    <row r="29" customFormat="false" ht="42" hidden="false" customHeight="true" outlineLevel="0" collapsed="false">
      <c r="A29" s="1" t="s">
        <v>118</v>
      </c>
      <c r="B29" s="1" t="s">
        <v>138</v>
      </c>
      <c r="D29" s="1" t="s">
        <v>139</v>
      </c>
      <c r="E29" s="1" t="n">
        <v>1.302</v>
      </c>
    </row>
    <row r="30" customFormat="false" ht="42" hidden="false" customHeight="true" outlineLevel="0" collapsed="false">
      <c r="A30" s="1" t="s">
        <v>118</v>
      </c>
      <c r="B30" s="1" t="s">
        <v>141</v>
      </c>
      <c r="C30" s="1" t="s">
        <v>142</v>
      </c>
      <c r="D30" s="1" t="s">
        <v>143</v>
      </c>
      <c r="E30" s="1" t="n">
        <v>150</v>
      </c>
    </row>
    <row r="31" customFormat="false" ht="42" hidden="false" customHeight="true" outlineLevel="0" collapsed="false">
      <c r="A31" s="1" t="s">
        <v>118</v>
      </c>
      <c r="B31" s="1" t="s">
        <v>145</v>
      </c>
      <c r="C31" s="1" t="s">
        <v>110</v>
      </c>
      <c r="D31" s="1" t="s">
        <v>146</v>
      </c>
      <c r="E31" s="1" t="n">
        <v>25</v>
      </c>
    </row>
    <row r="32" customFormat="false" ht="42" hidden="false" customHeight="true" outlineLevel="0" collapsed="false">
      <c r="A32" s="1" t="s">
        <v>148</v>
      </c>
      <c r="B32" s="1" t="s">
        <v>149</v>
      </c>
      <c r="C32" s="1" t="s">
        <v>49</v>
      </c>
      <c r="E32" s="1" t="n">
        <v>25</v>
      </c>
    </row>
    <row r="33" customFormat="false" ht="42" hidden="false" customHeight="true" outlineLevel="0" collapsed="false">
      <c r="A33" s="1" t="s">
        <v>148</v>
      </c>
      <c r="B33" s="1" t="s">
        <v>151</v>
      </c>
      <c r="C33" s="1" t="s">
        <v>49</v>
      </c>
      <c r="D33" s="1" t="s">
        <v>152</v>
      </c>
      <c r="E33" s="1" t="n">
        <v>350</v>
      </c>
    </row>
    <row r="34" customFormat="false" ht="42" hidden="false" customHeight="true" outlineLevel="0" collapsed="false">
      <c r="A34" s="1" t="s">
        <v>154</v>
      </c>
      <c r="B34" s="1" t="s">
        <v>155</v>
      </c>
      <c r="E34" s="1" t="s">
        <v>208</v>
      </c>
    </row>
    <row r="35" customFormat="false" ht="42" hidden="false" customHeight="true" outlineLevel="0" collapsed="false">
      <c r="A35" s="1" t="s">
        <v>154</v>
      </c>
      <c r="B35" s="1" t="s">
        <v>159</v>
      </c>
      <c r="C35" s="1" t="s">
        <v>160</v>
      </c>
      <c r="E35" s="1" t="n">
        <v>20000</v>
      </c>
    </row>
    <row r="36" customFormat="false" ht="42" hidden="false" customHeight="true" outlineLevel="0" collapsed="false">
      <c r="A36" s="1" t="s">
        <v>154</v>
      </c>
      <c r="B36" s="1" t="s">
        <v>162</v>
      </c>
      <c r="C36" s="1" t="s">
        <v>163</v>
      </c>
      <c r="D36" s="1" t="s">
        <v>164</v>
      </c>
      <c r="E36" s="1" t="n">
        <v>800</v>
      </c>
    </row>
    <row r="37" customFormat="false" ht="42" hidden="false" customHeight="true" outlineLevel="0" collapsed="false">
      <c r="A37" s="1" t="s">
        <v>154</v>
      </c>
      <c r="B37" s="1" t="s">
        <v>166</v>
      </c>
      <c r="C37" s="1" t="s">
        <v>163</v>
      </c>
      <c r="D37" s="1" t="s">
        <v>167</v>
      </c>
      <c r="E37" s="1" t="n">
        <v>1.8</v>
      </c>
    </row>
    <row r="38" customFormat="false" ht="42" hidden="false" customHeight="true" outlineLevel="0" collapsed="false">
      <c r="A38" s="1" t="s">
        <v>154</v>
      </c>
      <c r="B38" s="1" t="s">
        <v>169</v>
      </c>
      <c r="C38" s="1" t="s">
        <v>171</v>
      </c>
      <c r="D38" s="1" t="s">
        <v>173</v>
      </c>
      <c r="E38" s="1" t="s">
        <v>170</v>
      </c>
    </row>
    <row r="39" customFormat="false" ht="42" hidden="false" customHeight="true" outlineLevel="0" collapsed="false">
      <c r="A39" s="1" t="s">
        <v>154</v>
      </c>
      <c r="B39" s="1" t="s">
        <v>175</v>
      </c>
      <c r="C39" s="1" t="s">
        <v>171</v>
      </c>
      <c r="E39" s="1" t="s">
        <v>176</v>
      </c>
    </row>
    <row r="40" customFormat="false" ht="42" hidden="false" customHeight="true" outlineLevel="0" collapsed="false">
      <c r="A40" s="1" t="s">
        <v>154</v>
      </c>
      <c r="B40" s="1" t="s">
        <v>178</v>
      </c>
      <c r="C40" s="1" t="s">
        <v>110</v>
      </c>
      <c r="D40" s="1" t="s">
        <v>179</v>
      </c>
      <c r="E40" s="1" t="n">
        <v>5</v>
      </c>
    </row>
    <row r="41" customFormat="false" ht="42" hidden="false" customHeight="true" outlineLevel="0" collapsed="false">
      <c r="A41" s="1" t="s">
        <v>181</v>
      </c>
      <c r="B41" s="1" t="s">
        <v>182</v>
      </c>
      <c r="C41" s="1" t="s">
        <v>53</v>
      </c>
      <c r="D41" s="1" t="s">
        <v>183</v>
      </c>
      <c r="E41" s="1" t="n">
        <v>3</v>
      </c>
    </row>
    <row r="42" customFormat="false" ht="42" hidden="false" customHeight="true" outlineLevel="0" collapsed="false">
      <c r="A42" s="1" t="s">
        <v>181</v>
      </c>
      <c r="B42" s="1" t="s">
        <v>185</v>
      </c>
      <c r="C42" s="1" t="s">
        <v>186</v>
      </c>
      <c r="D42" s="1" t="s">
        <v>187</v>
      </c>
      <c r="E42" s="1" t="n">
        <v>500</v>
      </c>
    </row>
    <row r="43" customFormat="false" ht="42" hidden="false" customHeight="true" outlineLevel="0" collapsed="false">
      <c r="A43" s="1" t="s">
        <v>181</v>
      </c>
      <c r="B43" s="1" t="s">
        <v>189</v>
      </c>
      <c r="D43" s="1" t="s">
        <v>192</v>
      </c>
      <c r="E43" s="1" t="s">
        <v>38</v>
      </c>
    </row>
    <row r="44" customFormat="false" ht="42" hidden="false" customHeight="true" outlineLevel="0" collapsed="false">
      <c r="A44" s="1" t="s">
        <v>181</v>
      </c>
      <c r="B44" s="1" t="s">
        <v>194</v>
      </c>
      <c r="D44" s="1" t="s">
        <v>197</v>
      </c>
      <c r="E44" s="1" t="s">
        <v>209</v>
      </c>
    </row>
    <row r="45" customFormat="false" ht="42" hidden="false" customHeight="true" outlineLevel="0" collapsed="false">
      <c r="A45" s="1" t="s">
        <v>181</v>
      </c>
      <c r="B45" s="1" t="s">
        <v>199</v>
      </c>
      <c r="C45" s="1" t="s">
        <v>200</v>
      </c>
      <c r="D45" s="1" t="s">
        <v>201</v>
      </c>
      <c r="E45" s="1" t="n">
        <v>80</v>
      </c>
    </row>
    <row r="46" customFormat="false" ht="42" hidden="false" customHeight="true" outlineLevel="0" collapsed="false">
      <c r="A46" s="1" t="s">
        <v>181</v>
      </c>
      <c r="B46" s="1" t="s">
        <v>203</v>
      </c>
      <c r="C46" s="1" t="s">
        <v>204</v>
      </c>
      <c r="E46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2026-09-28T11:34:17Z</dcterms:created>
  <dc:creator>RobotsHub</dc:creator>
  <dc:description/>
  <dc:language>en-US</dc:language>
  <cp:lastModifiedBy>Unknown</cp:lastModifiedBy>
  <dcterms:modified xsi:type="dcterms:W3CDTF">2026-09-28T11:34:17Z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